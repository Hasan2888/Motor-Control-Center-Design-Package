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A069DE241822551/Documents/"/>
    </mc:Choice>
  </mc:AlternateContent>
  <xr:revisionPtr revIDLastSave="1" documentId="8_{7071A654-6A34-451F-8E83-0B011F1BE401}" xr6:coauthVersionLast="47" xr6:coauthVersionMax="47" xr10:uidLastSave="{DD33CB57-7BE8-4F8E-9367-7CD025211142}"/>
  <bookViews>
    <workbookView xWindow="-110" yWindow="-110" windowWidth="19420" windowHeight="11500" tabRatio="500" activeTab="1" xr2:uid="{00000000-000D-0000-FFFF-FFFF00000000}"/>
  </bookViews>
  <sheets>
    <sheet name="Motor Load Schedule" sheetId="1" r:id="rId1"/>
    <sheet name="Cable Sizing" sheetId="2" r:id="rId2"/>
    <sheet name="Panel Schedul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3" l="1"/>
  <c r="E9" i="3" s="1"/>
  <c r="F9" i="3" s="1"/>
  <c r="C9" i="3"/>
  <c r="B9" i="3"/>
  <c r="D8" i="3"/>
  <c r="E8" i="3" s="1"/>
  <c r="F8" i="3" s="1"/>
  <c r="C8" i="3"/>
  <c r="B8" i="3"/>
  <c r="D7" i="3"/>
  <c r="E7" i="3" s="1"/>
  <c r="F7" i="3" s="1"/>
  <c r="C7" i="3"/>
  <c r="B7" i="3"/>
  <c r="D6" i="3"/>
  <c r="E6" i="3" s="1"/>
  <c r="F6" i="3" s="1"/>
  <c r="C6" i="3"/>
  <c r="B6" i="3"/>
  <c r="D5" i="3"/>
  <c r="E5" i="3" s="1"/>
  <c r="F5" i="3" s="1"/>
  <c r="C5" i="3"/>
  <c r="B5" i="3"/>
  <c r="D4" i="3"/>
  <c r="E4" i="3" s="1"/>
  <c r="F4" i="3" s="1"/>
  <c r="C4" i="3"/>
  <c r="B4" i="3"/>
  <c r="C9" i="2"/>
  <c r="D9" i="2" s="1"/>
  <c r="B9" i="2"/>
  <c r="A9" i="2"/>
  <c r="C8" i="2"/>
  <c r="D8" i="2" s="1"/>
  <c r="B8" i="2"/>
  <c r="A8" i="2"/>
  <c r="C7" i="2"/>
  <c r="D7" i="2" s="1"/>
  <c r="B7" i="2"/>
  <c r="A7" i="2"/>
  <c r="F6" i="2"/>
  <c r="E6" i="2"/>
  <c r="I6" i="3" s="1"/>
  <c r="D6" i="2"/>
  <c r="C6" i="2"/>
  <c r="B6" i="2"/>
  <c r="A6" i="2"/>
  <c r="C5" i="2"/>
  <c r="D5" i="2" s="1"/>
  <c r="B5" i="2"/>
  <c r="A5" i="2"/>
  <c r="C4" i="2"/>
  <c r="D4" i="2" s="1"/>
  <c r="B4" i="2"/>
  <c r="A4" i="2"/>
  <c r="F4" i="2" l="1"/>
  <c r="E4" i="2"/>
  <c r="I4" i="3" s="1"/>
  <c r="F8" i="2"/>
  <c r="E8" i="2"/>
  <c r="I8" i="3" s="1"/>
  <c r="F9" i="2"/>
  <c r="E9" i="2"/>
  <c r="I9" i="3" s="1"/>
  <c r="F5" i="2"/>
  <c r="E5" i="2"/>
  <c r="I5" i="3" s="1"/>
  <c r="F7" i="2"/>
  <c r="E7" i="2"/>
  <c r="I7" i="3" s="1"/>
</calcChain>
</file>

<file path=xl/sharedStrings.xml><?xml version="1.0" encoding="utf-8"?>
<sst xmlns="http://schemas.openxmlformats.org/spreadsheetml/2006/main" count="93" uniqueCount="70">
  <si>
    <t>Motor Load Schedule — Small Commercial Building</t>
  </si>
  <si>
    <t>Motor ID</t>
  </si>
  <si>
    <t>Equipment Description</t>
  </si>
  <si>
    <t>Location</t>
  </si>
  <si>
    <t>HP</t>
  </si>
  <si>
    <t>Voltage (V)</t>
  </si>
  <si>
    <t>Phase</t>
  </si>
  <si>
    <t>FLA (A)
NEC 430.250</t>
  </si>
  <si>
    <t>Service Factor</t>
  </si>
  <si>
    <t>Duty</t>
  </si>
  <si>
    <t>Notes</t>
  </si>
  <si>
    <t>M-1</t>
  </si>
  <si>
    <t>Supply Fan (AHU-1)</t>
  </si>
  <si>
    <t>Mechanical Room</t>
  </si>
  <si>
    <t>Continuous</t>
  </si>
  <si>
    <t>M-2</t>
  </si>
  <si>
    <t>Return Fan (AHU-1)</t>
  </si>
  <si>
    <t>M-3</t>
  </si>
  <si>
    <t>Chilled Water Pump (P-1)</t>
  </si>
  <si>
    <t>M-4</t>
  </si>
  <si>
    <t>Exhaust Fan (EF-1)</t>
  </si>
  <si>
    <t>Roof</t>
  </si>
  <si>
    <t>M-5</t>
  </si>
  <si>
    <t>Cooling Tower Fan (CT-1)</t>
  </si>
  <si>
    <t>M-6</t>
  </si>
  <si>
    <t>Air Compressor (AC-1)</t>
  </si>
  <si>
    <t>Assumptions &amp; sources:</t>
  </si>
  <si>
    <t>• FLA values per NEC Table 430.250 (Full-Load Current, Three-Phase AC Motors), 460V column.</t>
  </si>
  <si>
    <t>• Service factor of 1.15 assumed for standard NEMA-rated motors (verify against actual nameplate when equipment is selected).</t>
  </si>
  <si>
    <t>• All loads assumed continuous duty per NEC Article 430.</t>
  </si>
  <si>
    <t>Cable Sizing — Based on NEC 430.22 (125%) and Table 310.16</t>
  </si>
  <si>
    <t>NEC Table 310.16</t>
  </si>
  <si>
    <t>FLA (A)</t>
  </si>
  <si>
    <t>Min. Conductor
Ampacity (125%)</t>
  </si>
  <si>
    <t>Selected Conductor
(75°C Cu)</t>
  </si>
  <si>
    <t>Selected Ampacity (A)</t>
  </si>
  <si>
    <t>AWG Size</t>
  </si>
  <si>
    <t>Ampacity (A)
75°C Cu</t>
  </si>
  <si>
    <t>1/0 AWG</t>
  </si>
  <si>
    <t>1 AWG</t>
  </si>
  <si>
    <t>2 AWG</t>
  </si>
  <si>
    <t>3 AWG</t>
  </si>
  <si>
    <t>4 AWG</t>
  </si>
  <si>
    <t>6 AWG</t>
  </si>
  <si>
    <t>8 AWG</t>
  </si>
  <si>
    <t>10 AWG</t>
  </si>
  <si>
    <t>12 AWG</t>
  </si>
  <si>
    <t>14 AWG</t>
  </si>
  <si>
    <t>• Minimum conductor ampacity = FLA x 1.25 per NEC 430.22 (continuous duty motor branch circuit).</t>
  </si>
  <si>
    <t>• Conductor ampacities per NEC Table 310.16, copper conductors with 75°C terminations (THHN/THWN-2 assumed).</t>
  </si>
  <si>
    <t>• Conduit fill, voltage drop, and ambient temperature derating not yet applied — covered later in the capstone.</t>
  </si>
  <si>
    <t>Panel Schedule — MCC Panel (Motors), Based on NEC 430.52</t>
  </si>
  <si>
    <t>Standard breaker sizes</t>
  </si>
  <si>
    <t>Circuit
No.</t>
  </si>
  <si>
    <t>Max Breaker
(250% FLA)</t>
  </si>
  <si>
    <t>Selected
Breaker (A)</t>
  </si>
  <si>
    <t>Poles</t>
  </si>
  <si>
    <t>Conductor
Size</t>
  </si>
  <si>
    <t>Breaker (A)</t>
  </si>
  <si>
    <t>1-3</t>
  </si>
  <si>
    <t>A-B-C</t>
  </si>
  <si>
    <t>4-6</t>
  </si>
  <si>
    <t>7-9</t>
  </si>
  <si>
    <t>10-12</t>
  </si>
  <si>
    <t>13-15</t>
  </si>
  <si>
    <t>16-18</t>
  </si>
  <si>
    <t>• Max breaker = FLA x 250% per NEC 430.52 (inverse-time circuit breaker, standard induction motor).</t>
  </si>
  <si>
    <t>• Selected breaker rounds up to next standard size per NEC 430.52(C)(1) Exception No. 1.</t>
  </si>
  <si>
    <t>• Circuit numbering is illustrative (sequential 3-pole groupings); confirm against actual panel schedule from panel manufacturer.</t>
  </si>
  <si>
    <t>• All motors assumed on a dedicated 3-phase MCC panel — no other (lighting/receptacle) loads shown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</si>
</sst>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55555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zoomScaleNormal="100" workbookViewId="0">
      <selection sqref="A1:J1"/>
    </sheetView>
  </sheetViews>
  <sheetFormatPr defaultColWidth="8.6328125" defaultRowHeight="14.5" x14ac:dyDescent="0.35"/>
  <cols>
    <col min="1" max="1" width="8" customWidth="1"/>
    <col min="2" max="2" width="26" customWidth="1"/>
    <col min="3" max="3" width="16" customWidth="1"/>
    <col min="4" max="4" width="6" customWidth="1"/>
    <col min="5" max="5" width="11" customWidth="1"/>
    <col min="6" max="6" width="7" customWidth="1"/>
    <col min="7" max="9" width="12" customWidth="1"/>
    <col min="10" max="10" width="20" customWidth="1"/>
  </cols>
  <sheetData>
    <row r="1" spans="1:10" ht="17.2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30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5" customHeight="1" x14ac:dyDescent="0.35">
      <c r="A4" s="3" t="s">
        <v>11</v>
      </c>
      <c r="B4" s="4" t="s">
        <v>12</v>
      </c>
      <c r="C4" s="3" t="s">
        <v>13</v>
      </c>
      <c r="D4" s="3">
        <v>5</v>
      </c>
      <c r="E4" s="3">
        <v>460</v>
      </c>
      <c r="F4" s="3">
        <v>3</v>
      </c>
      <c r="G4" s="3">
        <v>7.6</v>
      </c>
      <c r="H4" s="3">
        <v>1.1499999999999999</v>
      </c>
      <c r="I4" s="3" t="s">
        <v>14</v>
      </c>
      <c r="J4" s="3"/>
    </row>
    <row r="5" spans="1:10" ht="15" customHeight="1" x14ac:dyDescent="0.35">
      <c r="A5" s="3" t="s">
        <v>15</v>
      </c>
      <c r="B5" s="4" t="s">
        <v>16</v>
      </c>
      <c r="C5" s="3" t="s">
        <v>13</v>
      </c>
      <c r="D5" s="3">
        <v>3</v>
      </c>
      <c r="E5" s="3">
        <v>460</v>
      </c>
      <c r="F5" s="3">
        <v>3</v>
      </c>
      <c r="G5" s="3">
        <v>4.8</v>
      </c>
      <c r="H5" s="3">
        <v>1.1499999999999999</v>
      </c>
      <c r="I5" s="3" t="s">
        <v>14</v>
      </c>
      <c r="J5" s="3"/>
    </row>
    <row r="6" spans="1:10" ht="15" customHeight="1" x14ac:dyDescent="0.35">
      <c r="A6" s="3" t="s">
        <v>17</v>
      </c>
      <c r="B6" s="4" t="s">
        <v>18</v>
      </c>
      <c r="C6" s="3" t="s">
        <v>13</v>
      </c>
      <c r="D6" s="3">
        <v>20</v>
      </c>
      <c r="E6" s="3">
        <v>460</v>
      </c>
      <c r="F6" s="3">
        <v>3</v>
      </c>
      <c r="G6" s="3">
        <v>27</v>
      </c>
      <c r="H6" s="3">
        <v>1.1499999999999999</v>
      </c>
      <c r="I6" s="3" t="s">
        <v>14</v>
      </c>
      <c r="J6" s="3"/>
    </row>
    <row r="7" spans="1:10" ht="15" customHeight="1" x14ac:dyDescent="0.35">
      <c r="A7" s="3" t="s">
        <v>19</v>
      </c>
      <c r="B7" s="4" t="s">
        <v>20</v>
      </c>
      <c r="C7" s="3" t="s">
        <v>21</v>
      </c>
      <c r="D7" s="3">
        <v>1</v>
      </c>
      <c r="E7" s="3">
        <v>460</v>
      </c>
      <c r="F7" s="3">
        <v>3</v>
      </c>
      <c r="G7" s="3">
        <v>2.1</v>
      </c>
      <c r="H7" s="3">
        <v>1.1499999999999999</v>
      </c>
      <c r="I7" s="3" t="s">
        <v>14</v>
      </c>
      <c r="J7" s="3"/>
    </row>
    <row r="8" spans="1:10" ht="15" customHeight="1" x14ac:dyDescent="0.35">
      <c r="A8" s="3" t="s">
        <v>22</v>
      </c>
      <c r="B8" s="4" t="s">
        <v>23</v>
      </c>
      <c r="C8" s="3" t="s">
        <v>21</v>
      </c>
      <c r="D8" s="3">
        <v>25</v>
      </c>
      <c r="E8" s="3">
        <v>460</v>
      </c>
      <c r="F8" s="3">
        <v>3</v>
      </c>
      <c r="G8" s="3">
        <v>34</v>
      </c>
      <c r="H8" s="3">
        <v>1.1499999999999999</v>
      </c>
      <c r="I8" s="3" t="s">
        <v>14</v>
      </c>
      <c r="J8" s="3"/>
    </row>
    <row r="9" spans="1:10" ht="15" customHeight="1" x14ac:dyDescent="0.35">
      <c r="A9" s="3" t="s">
        <v>24</v>
      </c>
      <c r="B9" s="4" t="s">
        <v>25</v>
      </c>
      <c r="C9" s="3" t="s">
        <v>13</v>
      </c>
      <c r="D9" s="3">
        <v>15</v>
      </c>
      <c r="E9" s="3">
        <v>460</v>
      </c>
      <c r="F9" s="3">
        <v>3</v>
      </c>
      <c r="G9" s="3">
        <v>21</v>
      </c>
      <c r="H9" s="3">
        <v>1.1499999999999999</v>
      </c>
      <c r="I9" s="3" t="s">
        <v>14</v>
      </c>
      <c r="J9" s="3"/>
    </row>
    <row r="11" spans="1:10" ht="15" customHeight="1" x14ac:dyDescent="0.35">
      <c r="A11" s="5" t="s">
        <v>26</v>
      </c>
    </row>
    <row r="12" spans="1:10" ht="15" customHeight="1" x14ac:dyDescent="0.35">
      <c r="A12" s="6" t="s">
        <v>27</v>
      </c>
    </row>
    <row r="13" spans="1:10" ht="15" customHeight="1" x14ac:dyDescent="0.35">
      <c r="A13" s="6" t="s">
        <v>28</v>
      </c>
    </row>
    <row r="14" spans="1:10" ht="15" customHeight="1" x14ac:dyDescent="0.35">
      <c r="A14" s="6" t="s">
        <v>29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zoomScaleNormal="100" workbookViewId="0">
      <selection sqref="A1:F1"/>
    </sheetView>
  </sheetViews>
  <sheetFormatPr defaultColWidth="8.6328125" defaultRowHeight="14.5" x14ac:dyDescent="0.35"/>
  <cols>
    <col min="1" max="1" width="10" customWidth="1"/>
    <col min="2" max="2" width="26" customWidth="1"/>
    <col min="3" max="3" width="10" customWidth="1"/>
    <col min="4" max="6" width="16" customWidth="1"/>
    <col min="7" max="7" width="2" customWidth="1"/>
    <col min="8" max="8" width="10" customWidth="1"/>
    <col min="9" max="9" width="14" customWidth="1"/>
  </cols>
  <sheetData>
    <row r="1" spans="1:9" ht="17.25" customHeight="1" x14ac:dyDescent="0.4">
      <c r="A1" s="1" t="s">
        <v>30</v>
      </c>
      <c r="B1" s="1"/>
      <c r="C1" s="1"/>
      <c r="D1" s="1"/>
      <c r="E1" s="1"/>
      <c r="F1" s="1"/>
    </row>
    <row r="2" spans="1:9" ht="15" customHeight="1" x14ac:dyDescent="0.35">
      <c r="H2" s="5" t="s">
        <v>31</v>
      </c>
    </row>
    <row r="3" spans="1:9" ht="39" x14ac:dyDescent="0.35">
      <c r="A3" s="2" t="s">
        <v>1</v>
      </c>
      <c r="B3" s="2" t="s">
        <v>2</v>
      </c>
      <c r="C3" s="2" t="s">
        <v>32</v>
      </c>
      <c r="D3" s="2" t="s">
        <v>33</v>
      </c>
      <c r="E3" s="2" t="s">
        <v>34</v>
      </c>
      <c r="F3" s="2" t="s">
        <v>35</v>
      </c>
      <c r="H3" s="2" t="s">
        <v>36</v>
      </c>
      <c r="I3" s="2" t="s">
        <v>37</v>
      </c>
    </row>
    <row r="4" spans="1:9" ht="15" customHeight="1" x14ac:dyDescent="0.35">
      <c r="A4" s="3" t="str">
        <f>'Motor Load Schedule'!A4</f>
        <v>M-1</v>
      </c>
      <c r="B4" s="4" t="str">
        <f>'Motor Load Schedule'!B4</f>
        <v>Supply Fan (AHU-1)</v>
      </c>
      <c r="C4" s="3">
        <f>'Motor Load Schedule'!G4</f>
        <v>7.6</v>
      </c>
      <c r="D4" s="3">
        <f t="shared" ref="D4:D9" si="0">C4*1.25</f>
        <v>9.5</v>
      </c>
      <c r="E4" s="3" t="str">
        <f t="shared" ref="E4:E9" si="1">INDEX($H$4:$H$13,MATCH(D4,$I$4:$I$13,-1))</f>
        <v>14 AWG</v>
      </c>
      <c r="F4" s="3">
        <f t="shared" ref="F4:F9" si="2">INDEX($I$4:$I$13,MATCH(D4,$I$4:$I$13,-1))</f>
        <v>20</v>
      </c>
      <c r="H4" s="3" t="s">
        <v>38</v>
      </c>
      <c r="I4" s="3">
        <v>150</v>
      </c>
    </row>
    <row r="5" spans="1:9" ht="15" customHeight="1" x14ac:dyDescent="0.35">
      <c r="A5" s="3" t="str">
        <f>'Motor Load Schedule'!A5</f>
        <v>M-2</v>
      </c>
      <c r="B5" s="4" t="str">
        <f>'Motor Load Schedule'!B5</f>
        <v>Return Fan (AHU-1)</v>
      </c>
      <c r="C5" s="3">
        <f>'Motor Load Schedule'!G5</f>
        <v>4.8</v>
      </c>
      <c r="D5" s="3">
        <f t="shared" si="0"/>
        <v>6</v>
      </c>
      <c r="E5" s="3" t="str">
        <f t="shared" si="1"/>
        <v>14 AWG</v>
      </c>
      <c r="F5" s="3">
        <f t="shared" si="2"/>
        <v>20</v>
      </c>
      <c r="H5" s="3" t="s">
        <v>39</v>
      </c>
      <c r="I5" s="3">
        <v>130</v>
      </c>
    </row>
    <row r="6" spans="1:9" ht="15" customHeight="1" x14ac:dyDescent="0.35">
      <c r="A6" s="3" t="str">
        <f>'Motor Load Schedule'!A6</f>
        <v>M-3</v>
      </c>
      <c r="B6" s="4" t="str">
        <f>'Motor Load Schedule'!B6</f>
        <v>Chilled Water Pump (P-1)</v>
      </c>
      <c r="C6" s="3">
        <f>'Motor Load Schedule'!G6</f>
        <v>27</v>
      </c>
      <c r="D6" s="3">
        <f t="shared" si="0"/>
        <v>33.75</v>
      </c>
      <c r="E6" s="3" t="str">
        <f t="shared" si="1"/>
        <v>10 AWG</v>
      </c>
      <c r="F6" s="3">
        <f t="shared" si="2"/>
        <v>35</v>
      </c>
      <c r="H6" s="3" t="s">
        <v>40</v>
      </c>
      <c r="I6" s="3">
        <v>115</v>
      </c>
    </row>
    <row r="7" spans="1:9" ht="15" customHeight="1" x14ac:dyDescent="0.35">
      <c r="A7" s="3" t="str">
        <f>'Motor Load Schedule'!A7</f>
        <v>M-4</v>
      </c>
      <c r="B7" s="4" t="str">
        <f>'Motor Load Schedule'!B7</f>
        <v>Exhaust Fan (EF-1)</v>
      </c>
      <c r="C7" s="3">
        <f>'Motor Load Schedule'!G7</f>
        <v>2.1</v>
      </c>
      <c r="D7" s="3">
        <f t="shared" si="0"/>
        <v>2.625</v>
      </c>
      <c r="E7" s="3" t="str">
        <f t="shared" si="1"/>
        <v>14 AWG</v>
      </c>
      <c r="F7" s="3">
        <f t="shared" si="2"/>
        <v>20</v>
      </c>
      <c r="H7" s="3" t="s">
        <v>41</v>
      </c>
      <c r="I7" s="3">
        <v>100</v>
      </c>
    </row>
    <row r="8" spans="1:9" ht="15" customHeight="1" x14ac:dyDescent="0.35">
      <c r="A8" s="3" t="str">
        <f>'Motor Load Schedule'!A8</f>
        <v>M-5</v>
      </c>
      <c r="B8" s="4" t="str">
        <f>'Motor Load Schedule'!B8</f>
        <v>Cooling Tower Fan (CT-1)</v>
      </c>
      <c r="C8" s="3">
        <f>'Motor Load Schedule'!G8</f>
        <v>34</v>
      </c>
      <c r="D8" s="3">
        <f t="shared" si="0"/>
        <v>42.5</v>
      </c>
      <c r="E8" s="3" t="str">
        <f t="shared" si="1"/>
        <v>8 AWG</v>
      </c>
      <c r="F8" s="3">
        <f t="shared" si="2"/>
        <v>50</v>
      </c>
      <c r="H8" s="3" t="s">
        <v>42</v>
      </c>
      <c r="I8" s="3">
        <v>85</v>
      </c>
    </row>
    <row r="9" spans="1:9" ht="15" customHeight="1" x14ac:dyDescent="0.35">
      <c r="A9" s="3" t="str">
        <f>'Motor Load Schedule'!A9</f>
        <v>M-6</v>
      </c>
      <c r="B9" s="4" t="str">
        <f>'Motor Load Schedule'!B9</f>
        <v>Air Compressor (AC-1)</v>
      </c>
      <c r="C9" s="3">
        <f>'Motor Load Schedule'!G9</f>
        <v>21</v>
      </c>
      <c r="D9" s="3">
        <f t="shared" si="0"/>
        <v>26.25</v>
      </c>
      <c r="E9" s="3" t="str">
        <f t="shared" si="1"/>
        <v>10 AWG</v>
      </c>
      <c r="F9" s="3">
        <f t="shared" si="2"/>
        <v>35</v>
      </c>
      <c r="H9" s="3" t="s">
        <v>43</v>
      </c>
      <c r="I9" s="3">
        <v>65</v>
      </c>
    </row>
    <row r="10" spans="1:9" ht="15" customHeight="1" x14ac:dyDescent="0.35">
      <c r="H10" s="3" t="s">
        <v>44</v>
      </c>
      <c r="I10" s="3">
        <v>50</v>
      </c>
    </row>
    <row r="11" spans="1:9" ht="15" customHeight="1" x14ac:dyDescent="0.35">
      <c r="H11" s="3" t="s">
        <v>45</v>
      </c>
      <c r="I11" s="3">
        <v>35</v>
      </c>
    </row>
    <row r="12" spans="1:9" ht="15" customHeight="1" x14ac:dyDescent="0.35">
      <c r="H12" s="3" t="s">
        <v>46</v>
      </c>
      <c r="I12" s="3">
        <v>25</v>
      </c>
    </row>
    <row r="13" spans="1:9" ht="15" customHeight="1" x14ac:dyDescent="0.35">
      <c r="H13" s="3" t="s">
        <v>47</v>
      </c>
      <c r="I13" s="3">
        <v>20</v>
      </c>
    </row>
    <row r="15" spans="1:9" ht="15" customHeight="1" x14ac:dyDescent="0.35">
      <c r="A15" s="5" t="s">
        <v>26</v>
      </c>
    </row>
    <row r="16" spans="1:9" ht="15" customHeight="1" x14ac:dyDescent="0.35">
      <c r="A16" s="6" t="s">
        <v>48</v>
      </c>
    </row>
    <row r="17" spans="1:1" ht="15" customHeight="1" x14ac:dyDescent="0.35">
      <c r="A17" s="6" t="s">
        <v>49</v>
      </c>
    </row>
    <row r="18" spans="1:1" ht="15" customHeight="1" x14ac:dyDescent="0.35">
      <c r="A18" s="6" t="s">
        <v>50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zoomScaleNormal="100" workbookViewId="0">
      <selection sqref="A1:J1"/>
    </sheetView>
  </sheetViews>
  <sheetFormatPr defaultColWidth="8.6328125" defaultRowHeight="14.5" x14ac:dyDescent="0.35"/>
  <cols>
    <col min="1" max="1" width="8" customWidth="1"/>
    <col min="2" max="2" width="10" customWidth="1"/>
    <col min="3" max="3" width="26" customWidth="1"/>
    <col min="4" max="4" width="9" customWidth="1"/>
    <col min="5" max="6" width="13" customWidth="1"/>
    <col min="7" max="7" width="7" customWidth="1"/>
    <col min="8" max="8" width="9" customWidth="1"/>
    <col min="9" max="9" width="12" customWidth="1"/>
    <col min="10" max="10" width="14" customWidth="1"/>
    <col min="11" max="11" width="2" customWidth="1"/>
    <col min="12" max="12" width="12" customWidth="1"/>
  </cols>
  <sheetData>
    <row r="1" spans="1:12" ht="18" x14ac:dyDescent="0.4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</row>
    <row r="2" spans="1:12" x14ac:dyDescent="0.35">
      <c r="L2" s="5" t="s">
        <v>52</v>
      </c>
    </row>
    <row r="3" spans="1:12" ht="30" customHeight="1" x14ac:dyDescent="0.35">
      <c r="A3" s="2" t="s">
        <v>53</v>
      </c>
      <c r="B3" s="2" t="s">
        <v>1</v>
      </c>
      <c r="C3" s="2" t="s">
        <v>2</v>
      </c>
      <c r="D3" s="2" t="s">
        <v>32</v>
      </c>
      <c r="E3" s="2" t="s">
        <v>54</v>
      </c>
      <c r="F3" s="2" t="s">
        <v>55</v>
      </c>
      <c r="G3" s="2" t="s">
        <v>56</v>
      </c>
      <c r="H3" s="2" t="s">
        <v>6</v>
      </c>
      <c r="I3" s="2" t="s">
        <v>57</v>
      </c>
      <c r="J3" s="2" t="s">
        <v>10</v>
      </c>
      <c r="L3" s="2" t="s">
        <v>58</v>
      </c>
    </row>
    <row r="4" spans="1:12" x14ac:dyDescent="0.35">
      <c r="A4" s="3" t="s">
        <v>59</v>
      </c>
      <c r="B4" s="4" t="str">
        <f>'Motor Load Schedule'!A4</f>
        <v>M-1</v>
      </c>
      <c r="C4" s="3" t="str">
        <f>'Motor Load Schedule'!B4</f>
        <v>Supply Fan (AHU-1)</v>
      </c>
      <c r="D4" s="3">
        <f>'Motor Load Schedule'!G4</f>
        <v>7.6</v>
      </c>
      <c r="E4" s="3">
        <f t="shared" ref="E4:E9" si="0">D4*2.5</f>
        <v>19</v>
      </c>
      <c r="F4" s="3">
        <f t="shared" ref="F4:F9" si="1">INDEX($L$4:$L$23,MATCH(E4,$L$4:$L$23,-1))</f>
        <v>20</v>
      </c>
      <c r="G4" s="3">
        <v>3</v>
      </c>
      <c r="H4" s="3" t="s">
        <v>60</v>
      </c>
      <c r="I4" s="3" t="str">
        <f>'Cable Sizing'!E4</f>
        <v>14 AWG</v>
      </c>
      <c r="J4" s="3"/>
      <c r="L4" s="3">
        <v>250</v>
      </c>
    </row>
    <row r="5" spans="1:12" x14ac:dyDescent="0.35">
      <c r="A5" s="3" t="s">
        <v>61</v>
      </c>
      <c r="B5" s="4" t="str">
        <f>'Motor Load Schedule'!A5</f>
        <v>M-2</v>
      </c>
      <c r="C5" s="3" t="str">
        <f>'Motor Load Schedule'!B5</f>
        <v>Return Fan (AHU-1)</v>
      </c>
      <c r="D5" s="3">
        <f>'Motor Load Schedule'!G5</f>
        <v>4.8</v>
      </c>
      <c r="E5" s="3">
        <f t="shared" si="0"/>
        <v>12</v>
      </c>
      <c r="F5" s="3">
        <f t="shared" si="1"/>
        <v>15</v>
      </c>
      <c r="G5" s="3">
        <v>3</v>
      </c>
      <c r="H5" s="3" t="s">
        <v>60</v>
      </c>
      <c r="I5" s="3" t="str">
        <f>'Cable Sizing'!E5</f>
        <v>14 AWG</v>
      </c>
      <c r="J5" s="3"/>
      <c r="L5" s="3">
        <v>225</v>
      </c>
    </row>
    <row r="6" spans="1:12" x14ac:dyDescent="0.35">
      <c r="A6" s="3" t="s">
        <v>62</v>
      </c>
      <c r="B6" s="4" t="str">
        <f>'Motor Load Schedule'!A6</f>
        <v>M-3</v>
      </c>
      <c r="C6" s="3" t="str">
        <f>'Motor Load Schedule'!B6</f>
        <v>Chilled Water Pump (P-1)</v>
      </c>
      <c r="D6" s="3">
        <f>'Motor Load Schedule'!G6</f>
        <v>27</v>
      </c>
      <c r="E6" s="3">
        <f t="shared" si="0"/>
        <v>67.5</v>
      </c>
      <c r="F6" s="3">
        <f t="shared" si="1"/>
        <v>70</v>
      </c>
      <c r="G6" s="3">
        <v>3</v>
      </c>
      <c r="H6" s="3" t="s">
        <v>60</v>
      </c>
      <c r="I6" s="3" t="str">
        <f>'Cable Sizing'!E6</f>
        <v>10 AWG</v>
      </c>
      <c r="J6" s="3"/>
      <c r="L6" s="3">
        <v>200</v>
      </c>
    </row>
    <row r="7" spans="1:12" x14ac:dyDescent="0.35">
      <c r="A7" s="3" t="s">
        <v>63</v>
      </c>
      <c r="B7" s="4" t="str">
        <f>'Motor Load Schedule'!A7</f>
        <v>M-4</v>
      </c>
      <c r="C7" s="3" t="str">
        <f>'Motor Load Schedule'!B7</f>
        <v>Exhaust Fan (EF-1)</v>
      </c>
      <c r="D7" s="3">
        <f>'Motor Load Schedule'!G7</f>
        <v>2.1</v>
      </c>
      <c r="E7" s="3">
        <f t="shared" si="0"/>
        <v>5.25</v>
      </c>
      <c r="F7" s="3">
        <f t="shared" si="1"/>
        <v>15</v>
      </c>
      <c r="G7" s="3">
        <v>3</v>
      </c>
      <c r="H7" s="3" t="s">
        <v>60</v>
      </c>
      <c r="I7" s="3" t="str">
        <f>'Cable Sizing'!E7</f>
        <v>14 AWG</v>
      </c>
      <c r="J7" s="3"/>
      <c r="L7" s="3">
        <v>175</v>
      </c>
    </row>
    <row r="8" spans="1:12" x14ac:dyDescent="0.35">
      <c r="A8" s="3" t="s">
        <v>64</v>
      </c>
      <c r="B8" s="4" t="str">
        <f>'Motor Load Schedule'!A8</f>
        <v>M-5</v>
      </c>
      <c r="C8" s="3" t="str">
        <f>'Motor Load Schedule'!B8</f>
        <v>Cooling Tower Fan (CT-1)</v>
      </c>
      <c r="D8" s="3">
        <f>'Motor Load Schedule'!G8</f>
        <v>34</v>
      </c>
      <c r="E8" s="3">
        <f t="shared" si="0"/>
        <v>85</v>
      </c>
      <c r="F8" s="3">
        <f t="shared" si="1"/>
        <v>90</v>
      </c>
      <c r="G8" s="3">
        <v>3</v>
      </c>
      <c r="H8" s="3" t="s">
        <v>60</v>
      </c>
      <c r="I8" s="3" t="str">
        <f>'Cable Sizing'!E8</f>
        <v>8 AWG</v>
      </c>
      <c r="J8" s="3"/>
      <c r="L8" s="3">
        <v>150</v>
      </c>
    </row>
    <row r="9" spans="1:12" x14ac:dyDescent="0.35">
      <c r="A9" s="3" t="s">
        <v>65</v>
      </c>
      <c r="B9" s="4" t="str">
        <f>'Motor Load Schedule'!A9</f>
        <v>M-6</v>
      </c>
      <c r="C9" s="3" t="str">
        <f>'Motor Load Schedule'!B9</f>
        <v>Air Compressor (AC-1)</v>
      </c>
      <c r="D9" s="3">
        <f>'Motor Load Schedule'!G9</f>
        <v>21</v>
      </c>
      <c r="E9" s="3">
        <f t="shared" si="0"/>
        <v>52.5</v>
      </c>
      <c r="F9" s="3">
        <f t="shared" si="1"/>
        <v>60</v>
      </c>
      <c r="G9" s="3">
        <v>3</v>
      </c>
      <c r="H9" s="3" t="s">
        <v>60</v>
      </c>
      <c r="I9" s="3" t="str">
        <f>'Cable Sizing'!E9</f>
        <v>10 AWG</v>
      </c>
      <c r="J9" s="3"/>
      <c r="L9" s="3">
        <v>125</v>
      </c>
    </row>
    <row r="10" spans="1:12" x14ac:dyDescent="0.35">
      <c r="L10" s="3">
        <v>110</v>
      </c>
    </row>
    <row r="11" spans="1:12" x14ac:dyDescent="0.35">
      <c r="L11" s="3">
        <v>100</v>
      </c>
    </row>
    <row r="12" spans="1:12" x14ac:dyDescent="0.35">
      <c r="L12" s="3">
        <v>90</v>
      </c>
    </row>
    <row r="13" spans="1:12" x14ac:dyDescent="0.35">
      <c r="L13" s="3">
        <v>80</v>
      </c>
    </row>
    <row r="14" spans="1:12" x14ac:dyDescent="0.35">
      <c r="L14" s="3">
        <v>70</v>
      </c>
    </row>
    <row r="15" spans="1:12" x14ac:dyDescent="0.35">
      <c r="L15" s="3">
        <v>60</v>
      </c>
    </row>
    <row r="16" spans="1:12" x14ac:dyDescent="0.35">
      <c r="L16" s="3">
        <v>50</v>
      </c>
    </row>
    <row r="17" spans="1:12" x14ac:dyDescent="0.35">
      <c r="L17" s="3">
        <v>45</v>
      </c>
    </row>
    <row r="18" spans="1:12" x14ac:dyDescent="0.35">
      <c r="L18" s="3">
        <v>40</v>
      </c>
    </row>
    <row r="19" spans="1:12" x14ac:dyDescent="0.35">
      <c r="L19" s="3">
        <v>35</v>
      </c>
    </row>
    <row r="20" spans="1:12" x14ac:dyDescent="0.35">
      <c r="L20" s="3">
        <v>30</v>
      </c>
    </row>
    <row r="21" spans="1:12" x14ac:dyDescent="0.35">
      <c r="L21" s="3">
        <v>25</v>
      </c>
    </row>
    <row r="22" spans="1:12" x14ac:dyDescent="0.35">
      <c r="L22" s="3">
        <v>20</v>
      </c>
    </row>
    <row r="23" spans="1:12" x14ac:dyDescent="0.35">
      <c r="L23" s="3">
        <v>15</v>
      </c>
    </row>
    <row r="25" spans="1:12" x14ac:dyDescent="0.35">
      <c r="A25" s="5" t="s">
        <v>26</v>
      </c>
    </row>
    <row r="26" spans="1:12" x14ac:dyDescent="0.35">
      <c r="A26" s="6" t="s">
        <v>66</v>
      </c>
    </row>
    <row r="27" spans="1:12" x14ac:dyDescent="0.35">
      <c r="A27" s="6" t="s">
        <v>67</v>
      </c>
    </row>
    <row r="28" spans="1:12" x14ac:dyDescent="0.35">
      <c r="A28" s="6" t="s">
        <v>68</v>
      </c>
    </row>
    <row r="29" spans="1:12" x14ac:dyDescent="0.35">
      <c r="A29" s="6" t="s">
        <v>69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 Load Schedule</vt:lpstr>
      <vt:lpstr>Cable Sizing</vt:lpstr>
      <vt:lpstr>Panel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Hammad Hasan</cp:lastModifiedBy>
  <cp:revision>0</cp:revision>
  <dcterms:created xsi:type="dcterms:W3CDTF">2026-07-27T04:21:12Z</dcterms:created>
  <dcterms:modified xsi:type="dcterms:W3CDTF">2026-07-27T16:04:49Z</dcterms:modified>
  <dc:language>en-US</dc:language>
</cp:coreProperties>
</file>